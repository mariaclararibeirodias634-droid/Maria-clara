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6FAAB7D0-854D-439C-8DA9-12FC8321D9FC}" xr6:coauthVersionLast="47" xr6:coauthVersionMax="47" xr10:uidLastSave="{00000000-0000-0000-0000-000000000000}"/>
  <bookViews>
    <workbookView xWindow="-105" yWindow="0" windowWidth="14610" windowHeight="15585" xr2:uid="{497A6A98-B2DF-4595-97F5-347F8FA67A06}"/>
  </bookViews>
  <sheets>
    <sheet name="CADASTRO" sheetId="1" r:id="rId1"/>
    <sheet name="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4" i="1"/>
</calcChain>
</file>

<file path=xl/sharedStrings.xml><?xml version="1.0" encoding="utf-8"?>
<sst xmlns="http://schemas.openxmlformats.org/spreadsheetml/2006/main" count="59" uniqueCount="41">
  <si>
    <t>NOME DO ALUNO</t>
  </si>
  <si>
    <t>FILIAl</t>
  </si>
  <si>
    <t>CÓDIGO DO CURSO</t>
  </si>
  <si>
    <t>NOME DO CURSO</t>
  </si>
  <si>
    <t>VALOR DA MENSALIDADE</t>
  </si>
  <si>
    <t>Ana Maria Bernardes</t>
  </si>
  <si>
    <t>Beatriz Saracena</t>
  </si>
  <si>
    <t xml:space="preserve">Diógenes Duarte Lima </t>
  </si>
  <si>
    <t>Fernando Coriolano</t>
  </si>
  <si>
    <t>Maria Carolina Braga</t>
  </si>
  <si>
    <t>Felipe dos Santos</t>
  </si>
  <si>
    <t>Vanderlei Higino</t>
  </si>
  <si>
    <t xml:space="preserve">Rodrigo maia </t>
  </si>
  <si>
    <t xml:space="preserve">Alexandre Garcia Gomes </t>
  </si>
  <si>
    <t xml:space="preserve">Jussara Medeiros </t>
  </si>
  <si>
    <t>Rogerio Dias</t>
  </si>
  <si>
    <t>Jaciara Yonh</t>
  </si>
  <si>
    <t>Melina Mercurio</t>
  </si>
  <si>
    <t xml:space="preserve">Sofia Barros Maranhão </t>
  </si>
  <si>
    <t xml:space="preserve">Vanessa Silva e Souza 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</si>
  <si>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</si>
  <si>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</si>
  <si>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</si>
  <si>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</si>
  <si>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</si>
  <si>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</si>
  <si>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>Vila Mariana</t>
  </si>
  <si>
    <t>Aclimação</t>
  </si>
  <si>
    <t>Itaim Bibi</t>
  </si>
  <si>
    <t>CÓDIGO</t>
  </si>
  <si>
    <t>CURSO</t>
  </si>
  <si>
    <t>MENSALIDADE</t>
  </si>
  <si>
    <t>Internet</t>
  </si>
  <si>
    <t>Word - Básico</t>
  </si>
  <si>
    <t>Word - Avançado</t>
  </si>
  <si>
    <t>Excel - Avançado</t>
  </si>
  <si>
    <t>Power Point - Básico</t>
  </si>
  <si>
    <t>Power Point - Avançado</t>
  </si>
  <si>
    <t>Excel - Básico</t>
  </si>
  <si>
    <t>Acess</t>
  </si>
  <si>
    <t>Acess com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</si>
</sst>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FA49-2C85-4D55-B82E-8BA5041D1A16}">
  <dimension ref="A3:G24"/>
  <sheetViews>
    <sheetView tabSelected="1" workbookViewId="0">
      <selection activeCell="E4" sqref="E4:E24"/>
    </sheetView>
  </sheetViews>
  <sheetFormatPr defaultRowHeight="15" x14ac:dyDescent="0.25"/>
  <cols>
    <col min="1" max="1" width="25.7109375" customWidth="1"/>
    <col min="2" max="2" width="17.140625" customWidth="1"/>
    <col min="3" max="3" width="11.140625" customWidth="1"/>
    <col min="4" max="4" width="24.7109375" customWidth="1"/>
    <col min="5" max="5" width="16.85546875" customWidth="1"/>
  </cols>
  <sheetData>
    <row r="3" spans="1:7" ht="48" customHeight="1" x14ac:dyDescent="0.25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1"/>
      <c r="G3" s="1"/>
    </row>
    <row r="4" spans="1:7" x14ac:dyDescent="0.25">
      <c r="A4" s="4" t="s">
        <v>5</v>
      </c>
      <c r="B4" s="5" t="s">
        <v>26</v>
      </c>
      <c r="C4" s="5">
        <v>2</v>
      </c>
      <c r="D4" s="4" t="str">
        <f>VLOOKUP(CADASTRO!C4,TABELA!$A$1:$C$10,2,FALSE)</f>
        <v>Word - Básico</v>
      </c>
      <c r="E4" s="7">
        <f>VLOOKUP(C4,TABELA!$A$1:$C$10,3,FALSE)</f>
        <v>180</v>
      </c>
    </row>
    <row r="5" spans="1:7" x14ac:dyDescent="0.25">
      <c r="A5" s="4" t="s">
        <v>6</v>
      </c>
      <c r="B5" s="5" t="s">
        <v>27</v>
      </c>
      <c r="C5" s="5">
        <v>3</v>
      </c>
      <c r="D5" s="4" t="str">
        <f>VLOOKUP(CADASTRO!C5,TABELA!$A$1:$C$10,2,FALSE)</f>
        <v>Word - Avançado</v>
      </c>
      <c r="E5" s="7">
        <f>VLOOKUP(C5,TABELA!$A$1:$C$10,3,FALSE)</f>
        <v>270</v>
      </c>
    </row>
    <row r="6" spans="1:7" x14ac:dyDescent="0.25">
      <c r="A6" s="4" t="s">
        <v>7</v>
      </c>
      <c r="B6" s="5" t="s">
        <v>26</v>
      </c>
      <c r="C6" s="5">
        <v>2</v>
      </c>
      <c r="D6" s="4" t="str">
        <f>VLOOKUP(CADASTRO!C6,TABELA!$A$1:$C$10,2,FALSE)</f>
        <v>Word - Básico</v>
      </c>
      <c r="E6" s="7">
        <f>VLOOKUP(C6,TABELA!$A$1:$C$10,3,FALSE)</f>
        <v>180</v>
      </c>
    </row>
    <row r="7" spans="1:7" x14ac:dyDescent="0.25">
      <c r="A7" s="4" t="s">
        <v>8</v>
      </c>
      <c r="B7" s="5" t="s">
        <v>28</v>
      </c>
      <c r="C7" s="5">
        <v>3</v>
      </c>
      <c r="D7" s="4" t="str">
        <f>VLOOKUP(CADASTRO!C7,TABELA!$A$1:$C$10,2,FALSE)</f>
        <v>Word - Avançado</v>
      </c>
      <c r="E7" s="7">
        <f>VLOOKUP(C7,TABELA!$A$1:$C$10,3,FALSE)</f>
        <v>270</v>
      </c>
    </row>
    <row r="8" spans="1:7" x14ac:dyDescent="0.25">
      <c r="A8" s="4" t="s">
        <v>9</v>
      </c>
      <c r="B8" s="5" t="s">
        <v>28</v>
      </c>
      <c r="C8" s="5">
        <v>1</v>
      </c>
      <c r="D8" s="4" t="str">
        <f>VLOOKUP(CADASTRO!C8,TABELA!$A$1:$C$10,2,FALSE)</f>
        <v>Internet</v>
      </c>
      <c r="E8" s="7">
        <f>VLOOKUP(C8,TABELA!$A$1:$C$10,3,FALSE)</f>
        <v>150</v>
      </c>
    </row>
    <row r="9" spans="1:7" x14ac:dyDescent="0.25">
      <c r="A9" s="4" t="s">
        <v>10</v>
      </c>
      <c r="B9" s="5" t="s">
        <v>27</v>
      </c>
      <c r="C9" s="5">
        <v>7</v>
      </c>
      <c r="D9" s="4" t="str">
        <f>VLOOKUP(CADASTRO!C9,TABELA!$A$1:$C$10,2,FALSE)</f>
        <v>Power Point - Avançado</v>
      </c>
      <c r="E9" s="7">
        <f>VLOOKUP(C9,TABELA!$A$1:$C$10,3,FALSE)</f>
        <v>170</v>
      </c>
    </row>
    <row r="10" spans="1:7" x14ac:dyDescent="0.25">
      <c r="A10" s="4" t="s">
        <v>11</v>
      </c>
      <c r="B10" s="5" t="s">
        <v>27</v>
      </c>
      <c r="C10" s="5">
        <v>1</v>
      </c>
      <c r="D10" s="4" t="str">
        <f>VLOOKUP(CADASTRO!C10,TABELA!$A$1:$C$10,2,FALSE)</f>
        <v>Internet</v>
      </c>
      <c r="E10" s="7">
        <f>VLOOKUP(C10,TABELA!$A$1:$C$10,3,FALSE)</f>
        <v>150</v>
      </c>
    </row>
    <row r="11" spans="1:7" x14ac:dyDescent="0.25">
      <c r="A11" s="4" t="s">
        <v>12</v>
      </c>
      <c r="B11" s="5" t="s">
        <v>26</v>
      </c>
      <c r="C11" s="5">
        <v>4</v>
      </c>
      <c r="D11" s="4" t="str">
        <f>VLOOKUP(CADASTRO!C11,TABELA!$A$1:$C$10,2,FALSE)</f>
        <v>Excel - Básico</v>
      </c>
      <c r="E11" s="7">
        <f>VLOOKUP(C11,TABELA!$A$1:$C$10,3,FALSE)</f>
        <v>200</v>
      </c>
    </row>
    <row r="12" spans="1:7" x14ac:dyDescent="0.25">
      <c r="A12" s="4" t="s">
        <v>13</v>
      </c>
      <c r="B12" s="5" t="s">
        <v>28</v>
      </c>
      <c r="C12" s="5">
        <v>6</v>
      </c>
      <c r="D12" s="4" t="str">
        <f>VLOOKUP(CADASTRO!C12,TABELA!$A$1:$C$10,2,FALSE)</f>
        <v>Power Point - Básico</v>
      </c>
      <c r="E12" s="7">
        <f>VLOOKUP(C12,TABELA!$A$1:$C$10,3,FALSE)</f>
        <v>120</v>
      </c>
    </row>
    <row r="13" spans="1:7" x14ac:dyDescent="0.25">
      <c r="A13" s="4" t="s">
        <v>14</v>
      </c>
      <c r="B13" s="5" t="s">
        <v>28</v>
      </c>
      <c r="C13" s="5">
        <v>6</v>
      </c>
      <c r="D13" s="4" t="str">
        <f>VLOOKUP(CADASTRO!C13,TABELA!$A$1:$C$10,2,FALSE)</f>
        <v>Power Point - Básico</v>
      </c>
      <c r="E13" s="7">
        <f>VLOOKUP(C13,TABELA!$A$1:$C$10,3,FALSE)</f>
        <v>120</v>
      </c>
    </row>
    <row r="14" spans="1:7" x14ac:dyDescent="0.25">
      <c r="A14" s="4" t="s">
        <v>15</v>
      </c>
      <c r="B14" s="5" t="s">
        <v>28</v>
      </c>
      <c r="C14" s="5">
        <v>3</v>
      </c>
      <c r="D14" s="4" t="str">
        <f>VLOOKUP(CADASTRO!C14,TABELA!$A$1:$C$10,2,FALSE)</f>
        <v>Word - Avançado</v>
      </c>
      <c r="E14" s="7">
        <f>VLOOKUP(C14,TABELA!$A$1:$C$10,3,FALSE)</f>
        <v>270</v>
      </c>
    </row>
    <row r="15" spans="1:7" x14ac:dyDescent="0.25">
      <c r="A15" s="4" t="s">
        <v>16</v>
      </c>
      <c r="B15" s="5" t="s">
        <v>27</v>
      </c>
      <c r="C15" s="5">
        <v>8</v>
      </c>
      <c r="D15" s="4" t="str">
        <f>VLOOKUP(CADASTRO!C15,TABELA!$A$1:$C$10,2,FALSE)</f>
        <v>Acess</v>
      </c>
      <c r="E15" s="7">
        <f>VLOOKUP(C15,TABELA!$A$1:$C$10,3,FALSE)</f>
        <v>270</v>
      </c>
    </row>
    <row r="16" spans="1:7" x14ac:dyDescent="0.25">
      <c r="A16" s="4" t="s">
        <v>17</v>
      </c>
      <c r="B16" s="5" t="s">
        <v>26</v>
      </c>
      <c r="C16" s="5">
        <v>6</v>
      </c>
      <c r="D16" s="4" t="str">
        <f>VLOOKUP(CADASTRO!C16,TABELA!$A$1:$C$10,2,FALSE)</f>
        <v>Power Point - Básico</v>
      </c>
      <c r="E16" s="7">
        <f>VLOOKUP(C16,TABELA!$A$1:$C$10,3,FALSE)</f>
        <v>120</v>
      </c>
    </row>
    <row r="17" spans="1:5" x14ac:dyDescent="0.25">
      <c r="A17" s="4" t="s">
        <v>18</v>
      </c>
      <c r="B17" s="5" t="s">
        <v>27</v>
      </c>
      <c r="C17" s="5">
        <v>2</v>
      </c>
      <c r="D17" s="4" t="str">
        <f>VLOOKUP(CADASTRO!C17,TABELA!$A$1:$C$10,2,FALSE)</f>
        <v>Word - Básico</v>
      </c>
      <c r="E17" s="7">
        <f>VLOOKUP(C17,TABELA!$A$1:$C$10,3,FALSE)</f>
        <v>180</v>
      </c>
    </row>
    <row r="18" spans="1:5" x14ac:dyDescent="0.25">
      <c r="A18" s="4" t="s">
        <v>19</v>
      </c>
      <c r="B18" s="5" t="s">
        <v>27</v>
      </c>
      <c r="C18" s="5">
        <v>3</v>
      </c>
      <c r="D18" s="4" t="str">
        <f>VLOOKUP(CADASTRO!C18,TABELA!$A$1:$C$10,2,FALSE)</f>
        <v>Word - Avançado</v>
      </c>
      <c r="E18" s="7">
        <f>VLOOKUP(C18,TABELA!$A$1:$C$10,3,FALSE)</f>
        <v>270</v>
      </c>
    </row>
    <row r="19" spans="1:5" x14ac:dyDescent="0.25">
      <c r="A19" s="4" t="s">
        <v>20</v>
      </c>
      <c r="B19" s="5" t="s">
        <v>26</v>
      </c>
      <c r="C19" s="5">
        <v>4</v>
      </c>
      <c r="D19" s="4" t="str">
        <f>VLOOKUP(CADASTRO!C19,TABELA!$A$1:$C$10,2,FALSE)</f>
        <v>Excel - Básico</v>
      </c>
      <c r="E19" s="7">
        <f>VLOOKUP(C19,TABELA!$A$1:$C$10,3,FALSE)</f>
        <v>200</v>
      </c>
    </row>
    <row r="20" spans="1:5" x14ac:dyDescent="0.25">
      <c r="A20" s="4" t="s">
        <v>21</v>
      </c>
      <c r="B20" s="5" t="s">
        <v>27</v>
      </c>
      <c r="C20" s="5">
        <v>9</v>
      </c>
      <c r="D20" s="4" t="str">
        <f>VLOOKUP(CADASTRO!C20,TABELA!$A$1:$C$10,2,FALSE)</f>
        <v>Acess com VBA</v>
      </c>
      <c r="E20" s="7">
        <f>VLOOKUP(C20,TABELA!$A$1:$C$10,3,FALSE)</f>
        <v>320</v>
      </c>
    </row>
    <row r="21" spans="1:5" x14ac:dyDescent="0.25">
      <c r="A21" s="4" t="s">
        <v>22</v>
      </c>
      <c r="B21" s="5" t="s">
        <v>27</v>
      </c>
      <c r="C21" s="5">
        <v>1</v>
      </c>
      <c r="D21" s="4" t="str">
        <f>VLOOKUP(CADASTRO!C21,TABELA!$A$1:$C$10,2,FALSE)</f>
        <v>Internet</v>
      </c>
      <c r="E21" s="7">
        <f>VLOOKUP(C21,TABELA!$A$1:$C$10,3,FALSE)</f>
        <v>150</v>
      </c>
    </row>
    <row r="22" spans="1:5" x14ac:dyDescent="0.25">
      <c r="A22" s="4" t="s">
        <v>23</v>
      </c>
      <c r="B22" s="5" t="s">
        <v>26</v>
      </c>
      <c r="C22" s="5">
        <v>8</v>
      </c>
      <c r="D22" s="4" t="str">
        <f>VLOOKUP(CADASTRO!C22,TABELA!$A$1:$C$10,2,FALSE)</f>
        <v>Acess</v>
      </c>
      <c r="E22" s="7">
        <f>VLOOKUP(C22,TABELA!$A$1:$C$10,3,FALSE)</f>
        <v>270</v>
      </c>
    </row>
    <row r="23" spans="1:5" x14ac:dyDescent="0.25">
      <c r="A23" s="4" t="s">
        <v>24</v>
      </c>
      <c r="B23" s="5" t="s">
        <v>27</v>
      </c>
      <c r="C23" s="5">
        <v>5</v>
      </c>
      <c r="D23" s="4" t="str">
        <f>VLOOKUP(CADASTRO!C23,TABELA!$A$1:$C$10,2,FALSE)</f>
        <v>Excel - Avançado</v>
      </c>
      <c r="E23" s="7">
        <f>VLOOKUP(C23,TABELA!$A$1:$C$10,3,FALSE)</f>
        <v>250</v>
      </c>
    </row>
    <row r="24" spans="1:5" x14ac:dyDescent="0.25">
      <c r="A24" s="4" t="s">
        <v>25</v>
      </c>
      <c r="B24" s="5" t="s">
        <v>27</v>
      </c>
      <c r="C24" s="5">
        <v>7</v>
      </c>
      <c r="D24" s="4" t="str">
        <f>VLOOKUP(CADASTRO!C24,TABELA!$A$1:$C$10,2,FALSE)</f>
        <v>Power Point - Avançado</v>
      </c>
      <c r="E24" s="7">
        <f>VLOOKUP(C24,TABELA!$A$1:$C$10,3,FALSE)</f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C26F-DFF8-4FD3-9DEC-E7CBBCC45471}">
  <dimension ref="A1:C10"/>
  <sheetViews>
    <sheetView workbookViewId="0">
      <selection activeCell="E6" sqref="E6"/>
    </sheetView>
  </sheetViews>
  <sheetFormatPr defaultRowHeight="15" x14ac:dyDescent="0.25"/>
  <cols>
    <col min="1" max="1" width="14.85546875" customWidth="1"/>
    <col min="2" max="2" width="28.5703125" customWidth="1"/>
    <col min="3" max="3" width="23" customWidth="1"/>
  </cols>
  <sheetData>
    <row r="1" spans="1:3" ht="21.75" customHeight="1" x14ac:dyDescent="0.25">
      <c r="A1" s="6" t="s">
        <v>29</v>
      </c>
      <c r="B1" s="6" t="s">
        <v>30</v>
      </c>
      <c r="C1" s="6" t="s">
        <v>31</v>
      </c>
    </row>
    <row r="2" spans="1:3" ht="21.75" customHeight="1" x14ac:dyDescent="0.25">
      <c r="A2" s="5">
        <v>1</v>
      </c>
      <c r="B2" s="4" t="s">
        <v>32</v>
      </c>
      <c r="C2" s="7">
        <v>150</v>
      </c>
    </row>
    <row r="3" spans="1:3" ht="21.75" customHeight="1" x14ac:dyDescent="0.25">
      <c r="A3" s="5">
        <v>2</v>
      </c>
      <c r="B3" s="4" t="s">
        <v>33</v>
      </c>
      <c r="C3" s="7">
        <v>180</v>
      </c>
    </row>
    <row r="4" spans="1:3" ht="21.75" customHeight="1" x14ac:dyDescent="0.25">
      <c r="A4" s="5">
        <v>3</v>
      </c>
      <c r="B4" s="4" t="s">
        <v>34</v>
      </c>
      <c r="C4" s="7">
        <v>270</v>
      </c>
    </row>
    <row r="5" spans="1:3" ht="21.75" customHeight="1" x14ac:dyDescent="0.25">
      <c r="A5" s="5">
        <v>4</v>
      </c>
      <c r="B5" s="4" t="s">
        <v>38</v>
      </c>
      <c r="C5" s="7">
        <v>200</v>
      </c>
    </row>
    <row r="6" spans="1:3" ht="21.75" customHeight="1" x14ac:dyDescent="0.25">
      <c r="A6" s="5">
        <v>5</v>
      </c>
      <c r="B6" s="4" t="s">
        <v>35</v>
      </c>
      <c r="C6" s="7">
        <v>250</v>
      </c>
    </row>
    <row r="7" spans="1:3" ht="21.75" customHeight="1" x14ac:dyDescent="0.25">
      <c r="A7" s="5">
        <v>6</v>
      </c>
      <c r="B7" s="4" t="s">
        <v>36</v>
      </c>
      <c r="C7" s="7">
        <v>120</v>
      </c>
    </row>
    <row r="8" spans="1:3" ht="21.75" customHeight="1" x14ac:dyDescent="0.25">
      <c r="A8" s="5">
        <v>7</v>
      </c>
      <c r="B8" s="4" t="s">
        <v>37</v>
      </c>
      <c r="C8" s="7">
        <v>170</v>
      </c>
    </row>
    <row r="9" spans="1:3" ht="21.75" customHeight="1" x14ac:dyDescent="0.25">
      <c r="A9" s="5">
        <v>8</v>
      </c>
      <c r="B9" s="4" t="s">
        <v>39</v>
      </c>
      <c r="C9" s="7">
        <v>270</v>
      </c>
    </row>
    <row r="10" spans="1:3" ht="21.75" customHeight="1" x14ac:dyDescent="0.25">
      <c r="A10" s="5">
        <v>9</v>
      </c>
      <c r="B10" s="4" t="s">
        <v>40</v>
      </c>
      <c r="C10" s="7">
        <v>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2026-03-26T17:17:54Z</dcterms:created>
  <dcterms:modified xsi:type="dcterms:W3CDTF">2026-03-26T17:49:30Z</dcterms:modified>
</cp:coreProperties>
</file>