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2A6E5D38-C02E-411D-B990-E565EF3BC414}" xr6:coauthVersionLast="47" xr6:coauthVersionMax="47" xr10:uidLastSave="{00000000-0000-0000-0000-000000000000}"/>
  <bookViews>
    <workbookView xWindow="4155" yWindow="4155" windowWidth="21600" windowHeight="11295" xr2:uid="{033CC5DD-8056-42AF-A86C-2793B7257E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E5" i="1"/>
  <c r="H6" i="1"/>
  <c r="H7" i="1"/>
  <c r="H8" i="1"/>
  <c r="H9" i="1"/>
  <c r="H10" i="1"/>
  <c r="H11" i="1"/>
  <c r="H5" i="1"/>
  <c r="G5" i="1"/>
  <c r="G6" i="1"/>
  <c r="G7" i="1"/>
  <c r="G8" i="1"/>
  <c r="G9" i="1"/>
  <c r="G10" i="1"/>
  <c r="G11" i="1"/>
  <c r="F6" i="1"/>
  <c r="F7" i="1"/>
  <c r="F8" i="1"/>
  <c r="F9" i="1"/>
  <c r="F10" i="1"/>
  <c r="F11" i="1"/>
  <c r="F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<sst xmlns="http://schemas.openxmlformats.org/spreadsheetml/2006/main" count="18" uniqueCount="18">
  <si>
    <t>NETHOUSE - COMPUTADOR 23 - 03/06/2013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</si>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</sst>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4" fontId="0" fillId="0" borderId="1" xfId="1" applyFont="1" applyBorder="1"/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90D-6288-482D-8F7B-7B03A4547488}">
  <dimension ref="A1:I11"/>
  <sheetViews>
    <sheetView tabSelected="1" workbookViewId="0">
      <selection activeCell="D21" sqref="D21"/>
    </sheetView>
  </sheetViews>
  <sheetFormatPr defaultRowHeight="15" x14ac:dyDescent="0.25"/>
  <cols>
    <col min="1" max="1" width="13.28515625" bestFit="1" customWidth="1"/>
    <col min="4" max="4" width="10.140625" customWidth="1"/>
    <col min="5" max="5" width="11" customWidth="1"/>
    <col min="6" max="6" width="10" customWidth="1"/>
    <col min="7" max="7" width="11.140625" customWidth="1"/>
    <col min="8" max="8" width="11.7109375" customWidth="1"/>
    <col min="9" max="9" width="11.42578125" customWidth="1"/>
  </cols>
  <sheetData>
    <row r="1" spans="1:9" ht="2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 t="s">
        <v>1</v>
      </c>
      <c r="B2" s="2">
        <v>10</v>
      </c>
      <c r="E2" s="3"/>
      <c r="F2" s="4"/>
      <c r="G2" s="4"/>
      <c r="H2" s="4"/>
      <c r="I2" s="5"/>
    </row>
    <row r="3" spans="1:9" x14ac:dyDescent="0.25">
      <c r="E3" s="4"/>
      <c r="F3" s="4"/>
      <c r="G3" s="4"/>
      <c r="H3" s="4"/>
      <c r="I3" s="6"/>
    </row>
    <row r="4" spans="1:9" ht="45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</row>
    <row r="5" spans="1:9" ht="18" customHeight="1" x14ac:dyDescent="0.25">
      <c r="A5" s="9" t="s">
        <v>11</v>
      </c>
      <c r="B5" s="10">
        <v>0.375</v>
      </c>
      <c r="C5" s="10">
        <v>0.4201388888888889</v>
      </c>
      <c r="D5" s="11">
        <v>4.5138888888888888E-2</v>
      </c>
      <c r="E5" s="9">
        <f>HOUR(D5)</f>
        <v>1</v>
      </c>
      <c r="F5" s="12">
        <f>MINUTE(D5)</f>
        <v>5</v>
      </c>
      <c r="G5" s="12">
        <f>CONVERT(E5,"hr","mn")+F5</f>
        <v>65</v>
      </c>
      <c r="H5" s="13">
        <f>IF(HOUR(B5)&lt;=11,(B$2*80%)/60,B$2/60)</f>
        <v>0.13333333333333333</v>
      </c>
      <c r="I5" s="14">
        <f>H5*G5</f>
        <v>8.6666666666666661</v>
      </c>
    </row>
    <row r="6" spans="1:9" ht="18" customHeight="1" x14ac:dyDescent="0.25">
      <c r="A6" s="9" t="s">
        <v>12</v>
      </c>
      <c r="B6" s="10">
        <v>0.42152777777777778</v>
      </c>
      <c r="C6" s="10">
        <v>0.44930555555555557</v>
      </c>
      <c r="D6" s="11">
        <v>2.7777777777777776E-2</v>
      </c>
      <c r="E6" s="9">
        <f t="shared" ref="E6:E11" si="0">HOUR(D6)</f>
        <v>0</v>
      </c>
      <c r="F6" s="12">
        <f t="shared" ref="F6:F11" si="1">MINUTE(D6)</f>
        <v>40</v>
      </c>
      <c r="G6" s="12">
        <f t="shared" ref="G6:G11" si="2">CONVERT(E6,"hr","mn")+F6</f>
        <v>40</v>
      </c>
      <c r="H6" s="13">
        <f t="shared" ref="H6:H11" si="3">IF(HOUR(B6)&lt;=11,(B$2*80%)/60,B$2/60)</f>
        <v>0.13333333333333333</v>
      </c>
      <c r="I6" s="14">
        <f t="shared" ref="I6:I11" si="4">H6*G6</f>
        <v>5.333333333333333</v>
      </c>
    </row>
    <row r="7" spans="1:9" ht="18" customHeight="1" x14ac:dyDescent="0.25">
      <c r="A7" s="9" t="s">
        <v>13</v>
      </c>
      <c r="B7" s="10">
        <v>0.4513888888888889</v>
      </c>
      <c r="C7" s="10">
        <v>0.47916666666666669</v>
      </c>
      <c r="D7" s="11">
        <v>2.7777777777777776E-2</v>
      </c>
      <c r="E7" s="9">
        <f t="shared" si="0"/>
        <v>0</v>
      </c>
      <c r="F7" s="12">
        <f t="shared" si="1"/>
        <v>40</v>
      </c>
      <c r="G7" s="12">
        <f t="shared" si="2"/>
        <v>40</v>
      </c>
      <c r="H7" s="13">
        <f t="shared" si="3"/>
        <v>0.13333333333333333</v>
      </c>
      <c r="I7" s="14">
        <f t="shared" si="4"/>
        <v>5.333333333333333</v>
      </c>
    </row>
    <row r="8" spans="1:9" ht="18" customHeight="1" x14ac:dyDescent="0.25">
      <c r="A8" s="9" t="s">
        <v>14</v>
      </c>
      <c r="B8" s="10">
        <v>0.47986111111111113</v>
      </c>
      <c r="C8" s="10">
        <v>0.50347222222222221</v>
      </c>
      <c r="D8" s="11">
        <v>2.361111111111111E-2</v>
      </c>
      <c r="E8" s="9">
        <f t="shared" si="0"/>
        <v>0</v>
      </c>
      <c r="F8" s="12">
        <f t="shared" si="1"/>
        <v>34</v>
      </c>
      <c r="G8" s="12">
        <f t="shared" si="2"/>
        <v>34</v>
      </c>
      <c r="H8" s="13">
        <f t="shared" si="3"/>
        <v>0.13333333333333333</v>
      </c>
      <c r="I8" s="14">
        <f t="shared" si="4"/>
        <v>4.5333333333333332</v>
      </c>
    </row>
    <row r="9" spans="1:9" ht="18" customHeight="1" x14ac:dyDescent="0.25">
      <c r="A9" s="9" t="s">
        <v>15</v>
      </c>
      <c r="B9" s="10">
        <v>0.50486111111111109</v>
      </c>
      <c r="C9" s="10">
        <v>0.57291666666666663</v>
      </c>
      <c r="D9" s="11">
        <v>6.805555555555555E-2</v>
      </c>
      <c r="E9" s="9">
        <f t="shared" si="0"/>
        <v>1</v>
      </c>
      <c r="F9" s="12">
        <f t="shared" si="1"/>
        <v>38</v>
      </c>
      <c r="G9" s="12">
        <f t="shared" si="2"/>
        <v>98</v>
      </c>
      <c r="H9" s="13">
        <f t="shared" si="3"/>
        <v>0.16666666666666666</v>
      </c>
      <c r="I9" s="14">
        <f t="shared" si="4"/>
        <v>16.333333333333332</v>
      </c>
    </row>
    <row r="10" spans="1:9" ht="18" customHeight="1" x14ac:dyDescent="0.25">
      <c r="A10" s="9" t="s">
        <v>16</v>
      </c>
      <c r="B10" s="10">
        <v>0.57361111111111118</v>
      </c>
      <c r="C10" s="10">
        <v>0.6875</v>
      </c>
      <c r="D10" s="11">
        <v>0.11388888888888889</v>
      </c>
      <c r="E10" s="9">
        <f t="shared" si="0"/>
        <v>2</v>
      </c>
      <c r="F10" s="12">
        <f t="shared" si="1"/>
        <v>44</v>
      </c>
      <c r="G10" s="12">
        <f t="shared" si="2"/>
        <v>164</v>
      </c>
      <c r="H10" s="13">
        <f t="shared" si="3"/>
        <v>0.16666666666666666</v>
      </c>
      <c r="I10" s="14">
        <f t="shared" si="4"/>
        <v>27.333333333333332</v>
      </c>
    </row>
    <row r="11" spans="1:9" ht="18" customHeight="1" x14ac:dyDescent="0.25">
      <c r="A11" s="9" t="s">
        <v>17</v>
      </c>
      <c r="B11" s="10">
        <v>0.69791666666666663</v>
      </c>
      <c r="C11" s="10">
        <v>0.75</v>
      </c>
      <c r="D11" s="11">
        <v>5.2083333333333336E-2</v>
      </c>
      <c r="E11" s="9">
        <f t="shared" si="0"/>
        <v>1</v>
      </c>
      <c r="F11" s="12">
        <f t="shared" si="1"/>
        <v>15</v>
      </c>
      <c r="G11" s="12">
        <f t="shared" si="2"/>
        <v>75</v>
      </c>
      <c r="H11" s="13">
        <f t="shared" si="3"/>
        <v>0.16666666666666666</v>
      </c>
      <c r="I11" s="14">
        <f t="shared" si="4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2026-03-31T18:13:25Z</dcterms:created>
  <dcterms:modified xsi:type="dcterms:W3CDTF">2026-03-31T18:35:14Z</dcterms:modified>
</cp:coreProperties>
</file>