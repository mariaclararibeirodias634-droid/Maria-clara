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04D72E16-3ACB-4057-AD97-526798DEB6DF}" xr6:coauthVersionLast="47" xr6:coauthVersionMax="47" xr10:uidLastSave="{00000000-0000-0000-0000-000000000000}"/>
  <bookViews>
    <workbookView xWindow="-105" yWindow="0" windowWidth="14610" windowHeight="15585" activeTab="3" xr2:uid="{2137DC8A-02AA-4830-A959-DE8E0954E174}"/>
  </bookViews>
  <sheets>
    <sheet name="Trimestre 1" sheetId="1" r:id="rId1"/>
    <sheet name="Trimestre 2" sheetId="2" r:id="rId2"/>
    <sheet name="Trimestre 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12" i="4"/>
  <c r="F4" i="4"/>
  <c r="E13" i="4"/>
  <c r="E12" i="4"/>
  <c r="E11" i="4"/>
  <c r="E10" i="4"/>
  <c r="E9" i="4"/>
  <c r="E8" i="4"/>
  <c r="E7" i="4"/>
  <c r="E6" i="4"/>
  <c r="E5" i="4"/>
  <c r="B4" i="4"/>
  <c r="G6" i="3"/>
  <c r="D5" i="4" s="1"/>
  <c r="G7" i="3"/>
  <c r="G8" i="3"/>
  <c r="G9" i="3"/>
  <c r="G10" i="3"/>
  <c r="D9" i="4" s="1"/>
  <c r="G11" i="3"/>
  <c r="G12" i="3"/>
  <c r="G13" i="3"/>
  <c r="G5" i="3"/>
  <c r="D4" i="4" s="1"/>
  <c r="G6" i="2"/>
  <c r="G7" i="2"/>
  <c r="G8" i="2"/>
  <c r="G9" i="2"/>
  <c r="C8" i="4" s="1"/>
  <c r="G10" i="2"/>
  <c r="G11" i="2"/>
  <c r="G12" i="2"/>
  <c r="C11" i="4" s="1"/>
  <c r="G13" i="2"/>
  <c r="G5" i="2"/>
  <c r="E4" i="4"/>
  <c r="D12" i="4"/>
  <c r="C12" i="4"/>
  <c r="B12" i="4"/>
  <c r="D11" i="4"/>
  <c r="B11" i="4"/>
  <c r="D10" i="4"/>
  <c r="C10" i="4"/>
  <c r="B10" i="4"/>
  <c r="C9" i="4"/>
  <c r="B9" i="4"/>
  <c r="D8" i="4"/>
  <c r="B8" i="4"/>
  <c r="D7" i="4"/>
  <c r="C7" i="4"/>
  <c r="B7" i="4"/>
  <c r="D6" i="4"/>
  <c r="C6" i="4"/>
  <c r="B6" i="4"/>
  <c r="C5" i="4"/>
  <c r="B5" i="4"/>
  <c r="C4" i="4"/>
  <c r="B15" i="3"/>
  <c r="B15" i="2"/>
  <c r="B17" i="1"/>
  <c r="B16" i="1"/>
  <c r="B15" i="1"/>
  <c r="G6" i="1"/>
  <c r="G7" i="1"/>
  <c r="G8" i="1"/>
  <c r="G9" i="1"/>
  <c r="G10" i="1"/>
  <c r="G11" i="1"/>
  <c r="G12" i="1"/>
  <c r="G13" i="1"/>
  <c r="G5" i="1"/>
  <c r="B17" i="3" l="1"/>
  <c r="B16" i="3"/>
  <c r="B16" i="2"/>
  <c r="B17" i="2"/>
</calcChain>
</file>

<file path=xl/sharedStrings.xml><?xml version="1.0" encoding="utf-8"?>
<sst xmlns="http://schemas.openxmlformats.org/spreadsheetml/2006/main" count="82" uniqueCount="32">
  <si>
    <t>Escola Fundamental</t>
  </si>
  <si>
    <t>Escola Fundamental Avaliação 1o. Trimestre</t>
  </si>
  <si>
    <t>André Pinheiro</t>
  </si>
  <si>
    <t xml:space="preserve">Disciplinas </t>
  </si>
  <si>
    <t>Participação</t>
  </si>
  <si>
    <t>Trabalho</t>
  </si>
  <si>
    <t xml:space="preserve">Avaliação Periódica </t>
  </si>
  <si>
    <t>Prova Final</t>
  </si>
  <si>
    <t>No. De faltas</t>
  </si>
  <si>
    <t>Média</t>
  </si>
  <si>
    <t>Matemática</t>
  </si>
  <si>
    <t xml:space="preserve">História </t>
  </si>
  <si>
    <t xml:space="preserve">Língua Portuguesa </t>
  </si>
  <si>
    <t>Geografia</t>
  </si>
  <si>
    <t>Ciências</t>
  </si>
  <si>
    <t>Educação Artística</t>
  </si>
  <si>
    <t>Educação Física</t>
  </si>
  <si>
    <t>Ensino Religioso</t>
  </si>
  <si>
    <t>Informática</t>
  </si>
  <si>
    <t>Total de faltas</t>
  </si>
  <si>
    <t>Maior nota</t>
  </si>
  <si>
    <t>Menor Nota</t>
  </si>
  <si>
    <t>Escola Fundamental Avaliação 3o. Trimestre</t>
  </si>
  <si>
    <t>Escola Fundamental Avaliação 2o. Trimestre</t>
  </si>
  <si>
    <t>Aluno</t>
  </si>
  <si>
    <t>Disciplinas</t>
  </si>
  <si>
    <t>1o. Trimestre</t>
  </si>
  <si>
    <t xml:space="preserve">2o. Trimestre </t>
  </si>
  <si>
    <t xml:space="preserve">3o. Trimestre </t>
  </si>
  <si>
    <t>Faltas</t>
  </si>
  <si>
    <t>Média Final</t>
  </si>
  <si>
    <t xml:space="preserve">Total de faltas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</si>
</sst>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textRotation="90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/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1" fillId="3" borderId="0" xfId="0" applyFont="1" applyFill="1"/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1E47-BC48-467A-99CA-A7E5A717D4C7}">
  <dimension ref="A1:G17"/>
  <sheetViews>
    <sheetView workbookViewId="0">
      <selection activeCell="C27" sqref="C27"/>
    </sheetView>
  </sheetViews>
  <sheetFormatPr defaultRowHeight="15" x14ac:dyDescent="0.25"/>
  <cols>
    <col min="1" max="1" width="24" customWidth="1"/>
    <col min="2" max="5" width="11.7109375" customWidth="1"/>
    <col min="6" max="6" width="12" customWidth="1"/>
    <col min="7" max="7" width="11.7109375" customWidth="1"/>
  </cols>
  <sheetData>
    <row r="1" spans="1:7" ht="30" customHeight="1" x14ac:dyDescent="0.25">
      <c r="A1" s="7" t="s">
        <v>1</v>
      </c>
      <c r="B1" s="7"/>
      <c r="C1" s="7"/>
      <c r="D1" s="7"/>
      <c r="E1" s="7"/>
      <c r="F1" s="7"/>
      <c r="G1" s="7"/>
    </row>
    <row r="2" spans="1:7" ht="30" customHeight="1" x14ac:dyDescent="0.25">
      <c r="A2" s="7"/>
      <c r="B2" s="7"/>
      <c r="C2" s="7"/>
      <c r="D2" s="7"/>
      <c r="E2" s="7"/>
      <c r="F2" s="7"/>
      <c r="G2" s="7"/>
    </row>
    <row r="3" spans="1:7" ht="65.25" customHeight="1" x14ac:dyDescent="0.3">
      <c r="A3" s="2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65.25" customHeight="1" x14ac:dyDescent="0.25">
      <c r="A4" s="1" t="s">
        <v>3</v>
      </c>
      <c r="B4" s="3"/>
      <c r="C4" s="3"/>
      <c r="D4" s="3"/>
      <c r="E4" s="3"/>
      <c r="F4" s="3"/>
      <c r="G4" s="3"/>
    </row>
    <row r="5" spans="1:7" x14ac:dyDescent="0.25">
      <c r="A5" s="1" t="s">
        <v>10</v>
      </c>
      <c r="B5" s="4">
        <v>6.25</v>
      </c>
      <c r="C5" s="4">
        <v>7.25</v>
      </c>
      <c r="D5" s="4">
        <v>6</v>
      </c>
      <c r="E5" s="4">
        <v>5</v>
      </c>
      <c r="F5" s="5">
        <v>20</v>
      </c>
      <c r="G5" s="6">
        <f>AVERAGE(B5:E5)</f>
        <v>6.125</v>
      </c>
    </row>
    <row r="6" spans="1:7" x14ac:dyDescent="0.25">
      <c r="A6" s="1" t="s">
        <v>11</v>
      </c>
      <c r="B6" s="4">
        <v>4</v>
      </c>
      <c r="C6" s="4">
        <v>5.5</v>
      </c>
      <c r="D6" s="4">
        <v>6</v>
      </c>
      <c r="E6" s="4">
        <v>6</v>
      </c>
      <c r="F6" s="5">
        <v>6</v>
      </c>
      <c r="G6" s="6">
        <f t="shared" ref="G6:G13" si="0">AVERAGE(B6:E6)</f>
        <v>5.375</v>
      </c>
    </row>
    <row r="7" spans="1:7" x14ac:dyDescent="0.25">
      <c r="A7" s="1" t="s">
        <v>12</v>
      </c>
      <c r="B7" s="4">
        <v>6.25</v>
      </c>
      <c r="C7" s="4">
        <v>5.25</v>
      </c>
      <c r="D7" s="4">
        <v>8.25</v>
      </c>
      <c r="E7" s="4">
        <v>7</v>
      </c>
      <c r="F7" s="5">
        <v>5</v>
      </c>
      <c r="G7" s="6">
        <f t="shared" si="0"/>
        <v>6.6875</v>
      </c>
    </row>
    <row r="8" spans="1:7" x14ac:dyDescent="0.25">
      <c r="A8" s="1" t="s">
        <v>13</v>
      </c>
      <c r="B8" s="4">
        <v>5.5</v>
      </c>
      <c r="C8" s="4">
        <v>8</v>
      </c>
      <c r="D8" s="4">
        <v>6.5</v>
      </c>
      <c r="E8" s="4">
        <v>7.25</v>
      </c>
      <c r="F8" s="5">
        <v>0</v>
      </c>
      <c r="G8" s="6">
        <f t="shared" si="0"/>
        <v>6.8125</v>
      </c>
    </row>
    <row r="9" spans="1:7" x14ac:dyDescent="0.25">
      <c r="A9" s="1" t="s">
        <v>14</v>
      </c>
      <c r="B9" s="4">
        <v>7</v>
      </c>
      <c r="C9" s="4">
        <v>9.5</v>
      </c>
      <c r="D9" s="4">
        <v>8.25</v>
      </c>
      <c r="E9" s="4">
        <v>7</v>
      </c>
      <c r="F9" s="5">
        <v>0</v>
      </c>
      <c r="G9" s="6">
        <f t="shared" si="0"/>
        <v>7.9375</v>
      </c>
    </row>
    <row r="10" spans="1:7" x14ac:dyDescent="0.25">
      <c r="A10" s="1" t="s">
        <v>15</v>
      </c>
      <c r="B10" s="4">
        <v>9.25</v>
      </c>
      <c r="C10" s="4">
        <v>8</v>
      </c>
      <c r="D10" s="4">
        <v>9</v>
      </c>
      <c r="E10" s="4">
        <v>10</v>
      </c>
      <c r="F10" s="5">
        <v>2</v>
      </c>
      <c r="G10" s="6">
        <f t="shared" si="0"/>
        <v>9.0625</v>
      </c>
    </row>
    <row r="11" spans="1:7" x14ac:dyDescent="0.25">
      <c r="A11" s="1" t="s">
        <v>16</v>
      </c>
      <c r="B11" s="4">
        <v>8</v>
      </c>
      <c r="C11" s="4">
        <v>9.5</v>
      </c>
      <c r="D11" s="4">
        <v>8</v>
      </c>
      <c r="E11" s="4">
        <v>8</v>
      </c>
      <c r="F11" s="5">
        <v>0</v>
      </c>
      <c r="G11" s="6">
        <f t="shared" si="0"/>
        <v>8.375</v>
      </c>
    </row>
    <row r="12" spans="1:7" x14ac:dyDescent="0.25">
      <c r="A12" s="1" t="s">
        <v>17</v>
      </c>
      <c r="B12" s="4">
        <v>7.25</v>
      </c>
      <c r="C12" s="4">
        <v>8.25</v>
      </c>
      <c r="D12" s="4">
        <v>6.5</v>
      </c>
      <c r="E12" s="4">
        <v>9.25</v>
      </c>
      <c r="F12" s="5">
        <v>2</v>
      </c>
      <c r="G12" s="6">
        <f t="shared" si="0"/>
        <v>7.8125</v>
      </c>
    </row>
    <row r="13" spans="1:7" x14ac:dyDescent="0.25">
      <c r="A13" s="1" t="s">
        <v>18</v>
      </c>
      <c r="B13" s="4">
        <v>10</v>
      </c>
      <c r="C13" s="4">
        <v>8.25</v>
      </c>
      <c r="D13" s="4">
        <v>7</v>
      </c>
      <c r="E13" s="4">
        <v>9.5</v>
      </c>
      <c r="F13" s="5">
        <v>0</v>
      </c>
      <c r="G13" s="6">
        <f t="shared" si="0"/>
        <v>8.6875</v>
      </c>
    </row>
    <row r="15" spans="1:7" x14ac:dyDescent="0.25">
      <c r="A15" s="1" t="s">
        <v>19</v>
      </c>
      <c r="B15" s="1">
        <f>SUM(F5:F13)</f>
        <v>35</v>
      </c>
    </row>
    <row r="16" spans="1:7" x14ac:dyDescent="0.25">
      <c r="A16" s="1" t="s">
        <v>20</v>
      </c>
      <c r="B16" s="6">
        <f>MAX(G5:G13)</f>
        <v>9.0625</v>
      </c>
    </row>
    <row r="17" spans="1:2" x14ac:dyDescent="0.25">
      <c r="A17" s="1" t="s">
        <v>21</v>
      </c>
      <c r="B17" s="6">
        <f>MIN(G5:G13)</f>
        <v>5.375</v>
      </c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A8E4-B3BA-4C36-8C72-A5543B545240}">
  <dimension ref="A1:G17"/>
  <sheetViews>
    <sheetView workbookViewId="0">
      <selection activeCell="D17" sqref="D17"/>
    </sheetView>
  </sheetViews>
  <sheetFormatPr defaultRowHeight="15" x14ac:dyDescent="0.25"/>
  <cols>
    <col min="1" max="1" width="24" customWidth="1"/>
    <col min="2" max="5" width="11.7109375" customWidth="1"/>
    <col min="6" max="6" width="12" customWidth="1"/>
    <col min="7" max="7" width="11.7109375" customWidth="1"/>
  </cols>
  <sheetData>
    <row r="1" spans="1:7" ht="30" customHeight="1" x14ac:dyDescent="0.25">
      <c r="A1" s="7" t="s">
        <v>23</v>
      </c>
      <c r="B1" s="7"/>
      <c r="C1" s="7"/>
      <c r="D1" s="7"/>
      <c r="E1" s="7"/>
      <c r="F1" s="7"/>
      <c r="G1" s="7"/>
    </row>
    <row r="2" spans="1:7" ht="30" customHeight="1" x14ac:dyDescent="0.25">
      <c r="A2" s="7"/>
      <c r="B2" s="7"/>
      <c r="C2" s="7"/>
      <c r="D2" s="7"/>
      <c r="E2" s="7"/>
      <c r="F2" s="7"/>
      <c r="G2" s="7"/>
    </row>
    <row r="3" spans="1:7" ht="65.25" customHeight="1" x14ac:dyDescent="0.3">
      <c r="A3" s="2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65.25" customHeight="1" x14ac:dyDescent="0.25">
      <c r="A4" s="1" t="s">
        <v>3</v>
      </c>
      <c r="B4" s="3"/>
      <c r="C4" s="3"/>
      <c r="D4" s="3"/>
      <c r="E4" s="3"/>
      <c r="F4" s="3"/>
      <c r="G4" s="3"/>
    </row>
    <row r="5" spans="1:7" x14ac:dyDescent="0.25">
      <c r="A5" s="1" t="s">
        <v>10</v>
      </c>
      <c r="B5" s="4">
        <v>7</v>
      </c>
      <c r="C5" s="4">
        <v>5</v>
      </c>
      <c r="D5" s="4">
        <v>5.5</v>
      </c>
      <c r="E5" s="4">
        <v>5.5</v>
      </c>
      <c r="F5" s="5">
        <v>21</v>
      </c>
      <c r="G5" s="6">
        <f>AVERAGE(B5:E5)</f>
        <v>5.75</v>
      </c>
    </row>
    <row r="6" spans="1:7" x14ac:dyDescent="0.25">
      <c r="A6" s="1" t="s">
        <v>11</v>
      </c>
      <c r="B6" s="4">
        <v>7</v>
      </c>
      <c r="C6" s="4">
        <v>6</v>
      </c>
      <c r="D6" s="4">
        <v>7</v>
      </c>
      <c r="E6" s="4">
        <v>7</v>
      </c>
      <c r="F6" s="5">
        <v>6</v>
      </c>
      <c r="G6" s="6">
        <f t="shared" ref="G6:G13" si="0">AVERAGE(B6:E6)</f>
        <v>6.75</v>
      </c>
    </row>
    <row r="7" spans="1:7" x14ac:dyDescent="0.25">
      <c r="A7" s="1" t="s">
        <v>12</v>
      </c>
      <c r="B7" s="4">
        <v>8</v>
      </c>
      <c r="C7" s="4">
        <v>6</v>
      </c>
      <c r="D7" s="4">
        <v>7</v>
      </c>
      <c r="E7" s="4">
        <v>7</v>
      </c>
      <c r="F7" s="5">
        <v>5</v>
      </c>
      <c r="G7" s="6">
        <f t="shared" si="0"/>
        <v>7</v>
      </c>
    </row>
    <row r="8" spans="1:7" x14ac:dyDescent="0.25">
      <c r="A8" s="1" t="s">
        <v>13</v>
      </c>
      <c r="B8" s="4">
        <v>7</v>
      </c>
      <c r="C8" s="4">
        <v>7</v>
      </c>
      <c r="D8" s="4">
        <v>7.25</v>
      </c>
      <c r="E8" s="4">
        <v>7.25</v>
      </c>
      <c r="F8" s="5">
        <v>0</v>
      </c>
      <c r="G8" s="6">
        <f t="shared" si="0"/>
        <v>7.125</v>
      </c>
    </row>
    <row r="9" spans="1:7" x14ac:dyDescent="0.25">
      <c r="A9" s="1" t="s">
        <v>14</v>
      </c>
      <c r="B9" s="4">
        <v>7</v>
      </c>
      <c r="C9" s="4">
        <v>6</v>
      </c>
      <c r="D9" s="4">
        <v>7</v>
      </c>
      <c r="E9" s="4">
        <v>7</v>
      </c>
      <c r="F9" s="5">
        <v>0</v>
      </c>
      <c r="G9" s="6">
        <f t="shared" si="0"/>
        <v>6.75</v>
      </c>
    </row>
    <row r="10" spans="1:7" x14ac:dyDescent="0.25">
      <c r="A10" s="1" t="s">
        <v>15</v>
      </c>
      <c r="B10" s="4">
        <v>7</v>
      </c>
      <c r="C10" s="4">
        <v>7</v>
      </c>
      <c r="D10" s="4">
        <v>7.25</v>
      </c>
      <c r="E10" s="4">
        <v>10</v>
      </c>
      <c r="F10" s="5">
        <v>2</v>
      </c>
      <c r="G10" s="6">
        <f t="shared" si="0"/>
        <v>7.8125</v>
      </c>
    </row>
    <row r="11" spans="1:7" x14ac:dyDescent="0.25">
      <c r="A11" s="1" t="s">
        <v>16</v>
      </c>
      <c r="B11" s="4">
        <v>8</v>
      </c>
      <c r="C11" s="4">
        <v>7</v>
      </c>
      <c r="D11" s="4">
        <v>7</v>
      </c>
      <c r="E11" s="4">
        <v>7</v>
      </c>
      <c r="F11" s="5">
        <v>0</v>
      </c>
      <c r="G11" s="6">
        <f t="shared" si="0"/>
        <v>7.25</v>
      </c>
    </row>
    <row r="12" spans="1:7" x14ac:dyDescent="0.25">
      <c r="A12" s="1" t="s">
        <v>17</v>
      </c>
      <c r="B12" s="4">
        <v>7.25</v>
      </c>
      <c r="C12" s="4">
        <v>8</v>
      </c>
      <c r="D12" s="4">
        <v>7</v>
      </c>
      <c r="E12" s="4">
        <v>9.25</v>
      </c>
      <c r="F12" s="5">
        <v>2</v>
      </c>
      <c r="G12" s="6">
        <f t="shared" si="0"/>
        <v>7.875</v>
      </c>
    </row>
    <row r="13" spans="1:7" x14ac:dyDescent="0.25">
      <c r="A13" s="1" t="s">
        <v>18</v>
      </c>
      <c r="B13" s="4">
        <v>7</v>
      </c>
      <c r="C13" s="4">
        <v>7</v>
      </c>
      <c r="D13" s="4">
        <v>7</v>
      </c>
      <c r="E13" s="4">
        <v>9.5</v>
      </c>
      <c r="F13" s="5">
        <v>0</v>
      </c>
      <c r="G13" s="6">
        <f t="shared" si="0"/>
        <v>7.625</v>
      </c>
    </row>
    <row r="15" spans="1:7" x14ac:dyDescent="0.25">
      <c r="A15" s="1" t="s">
        <v>19</v>
      </c>
      <c r="B15" s="1">
        <f>SUM(F5:F13)</f>
        <v>36</v>
      </c>
    </row>
    <row r="16" spans="1:7" x14ac:dyDescent="0.25">
      <c r="A16" s="1" t="s">
        <v>20</v>
      </c>
      <c r="B16" s="6">
        <f>MAX(G5:G13)</f>
        <v>7.875</v>
      </c>
    </row>
    <row r="17" spans="1:2" x14ac:dyDescent="0.25">
      <c r="A17" s="1" t="s">
        <v>21</v>
      </c>
      <c r="B17" s="6">
        <f>MIN(G5:G13)</f>
        <v>5.75</v>
      </c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1D61-0B46-4446-A0E2-BB6FA9BDE6F7}">
  <dimension ref="A1:G17"/>
  <sheetViews>
    <sheetView workbookViewId="0">
      <selection activeCell="G17" sqref="G17"/>
    </sheetView>
  </sheetViews>
  <sheetFormatPr defaultRowHeight="15" x14ac:dyDescent="0.25"/>
  <cols>
    <col min="1" max="1" width="24" customWidth="1"/>
    <col min="2" max="5" width="11.7109375" customWidth="1"/>
    <col min="6" max="6" width="12" customWidth="1"/>
    <col min="7" max="7" width="11.7109375" customWidth="1"/>
  </cols>
  <sheetData>
    <row r="1" spans="1:7" ht="30" customHeight="1" x14ac:dyDescent="0.25">
      <c r="A1" s="7" t="s">
        <v>22</v>
      </c>
      <c r="B1" s="7"/>
      <c r="C1" s="7"/>
      <c r="D1" s="7"/>
      <c r="E1" s="7"/>
      <c r="F1" s="7"/>
      <c r="G1" s="7"/>
    </row>
    <row r="2" spans="1:7" ht="30" customHeight="1" x14ac:dyDescent="0.25">
      <c r="A2" s="7"/>
      <c r="B2" s="7"/>
      <c r="C2" s="7"/>
      <c r="D2" s="7"/>
      <c r="E2" s="7"/>
      <c r="F2" s="7"/>
      <c r="G2" s="7"/>
    </row>
    <row r="3" spans="1:7" ht="65.25" customHeight="1" x14ac:dyDescent="0.3">
      <c r="A3" s="2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65.25" customHeight="1" x14ac:dyDescent="0.25">
      <c r="A4" s="1" t="s">
        <v>3</v>
      </c>
      <c r="B4" s="3"/>
      <c r="C4" s="3"/>
      <c r="D4" s="3"/>
      <c r="E4" s="3"/>
      <c r="F4" s="3"/>
      <c r="G4" s="3"/>
    </row>
    <row r="5" spans="1:7" x14ac:dyDescent="0.25">
      <c r="A5" s="1" t="s">
        <v>10</v>
      </c>
      <c r="B5" s="4">
        <v>5</v>
      </c>
      <c r="C5" s="4">
        <v>5</v>
      </c>
      <c r="D5" s="4">
        <v>4</v>
      </c>
      <c r="E5" s="4">
        <v>4</v>
      </c>
      <c r="F5" s="5">
        <v>1</v>
      </c>
      <c r="G5" s="6">
        <f>AVERAGE(B5:E5)</f>
        <v>4.5</v>
      </c>
    </row>
    <row r="6" spans="1:7" x14ac:dyDescent="0.25">
      <c r="A6" s="1" t="s">
        <v>11</v>
      </c>
      <c r="B6" s="4">
        <v>8</v>
      </c>
      <c r="C6" s="4">
        <v>6</v>
      </c>
      <c r="D6" s="4">
        <v>6</v>
      </c>
      <c r="E6" s="4">
        <v>8</v>
      </c>
      <c r="F6" s="5">
        <v>2</v>
      </c>
      <c r="G6" s="6">
        <f t="shared" ref="G6:G13" si="0">AVERAGE(B6:E6)</f>
        <v>7</v>
      </c>
    </row>
    <row r="7" spans="1:7" x14ac:dyDescent="0.25">
      <c r="A7" s="1" t="s">
        <v>12</v>
      </c>
      <c r="B7" s="4">
        <v>6.25</v>
      </c>
      <c r="C7" s="4">
        <v>5.25</v>
      </c>
      <c r="D7" s="4">
        <v>8.25</v>
      </c>
      <c r="E7" s="4">
        <v>7</v>
      </c>
      <c r="F7" s="5">
        <v>1</v>
      </c>
      <c r="G7" s="6">
        <f t="shared" si="0"/>
        <v>6.6875</v>
      </c>
    </row>
    <row r="8" spans="1:7" x14ac:dyDescent="0.25">
      <c r="A8" s="1" t="s">
        <v>13</v>
      </c>
      <c r="B8" s="4">
        <v>5.5</v>
      </c>
      <c r="C8" s="4">
        <v>8</v>
      </c>
      <c r="D8" s="4">
        <v>6.5</v>
      </c>
      <c r="E8" s="4">
        <v>7.25</v>
      </c>
      <c r="F8" s="5">
        <v>2</v>
      </c>
      <c r="G8" s="6">
        <f t="shared" si="0"/>
        <v>6.8125</v>
      </c>
    </row>
    <row r="9" spans="1:7" x14ac:dyDescent="0.25">
      <c r="A9" s="1" t="s">
        <v>14</v>
      </c>
      <c r="B9" s="4">
        <v>7</v>
      </c>
      <c r="C9" s="4">
        <v>9.5</v>
      </c>
      <c r="D9" s="4">
        <v>8.25</v>
      </c>
      <c r="E9" s="4">
        <v>7</v>
      </c>
      <c r="F9" s="5">
        <v>2</v>
      </c>
      <c r="G9" s="6">
        <f t="shared" si="0"/>
        <v>7.9375</v>
      </c>
    </row>
    <row r="10" spans="1:7" x14ac:dyDescent="0.25">
      <c r="A10" s="1" t="s">
        <v>15</v>
      </c>
      <c r="B10" s="4">
        <v>9.25</v>
      </c>
      <c r="C10" s="4">
        <v>8</v>
      </c>
      <c r="D10" s="4">
        <v>9</v>
      </c>
      <c r="E10" s="4">
        <v>10</v>
      </c>
      <c r="F10" s="5">
        <v>1</v>
      </c>
      <c r="G10" s="6">
        <f t="shared" si="0"/>
        <v>9.0625</v>
      </c>
    </row>
    <row r="11" spans="1:7" x14ac:dyDescent="0.25">
      <c r="A11" s="1" t="s">
        <v>16</v>
      </c>
      <c r="B11" s="4">
        <v>8</v>
      </c>
      <c r="C11" s="4">
        <v>10</v>
      </c>
      <c r="D11" s="4">
        <v>9</v>
      </c>
      <c r="E11" s="4">
        <v>9</v>
      </c>
      <c r="F11" s="5">
        <v>0</v>
      </c>
      <c r="G11" s="6">
        <f t="shared" si="0"/>
        <v>9</v>
      </c>
    </row>
    <row r="12" spans="1:7" x14ac:dyDescent="0.25">
      <c r="A12" s="1" t="s">
        <v>17</v>
      </c>
      <c r="B12" s="4">
        <v>7.25</v>
      </c>
      <c r="C12" s="4">
        <v>8.25</v>
      </c>
      <c r="D12" s="4">
        <v>6.5</v>
      </c>
      <c r="E12" s="4">
        <v>9.25</v>
      </c>
      <c r="F12" s="5">
        <v>0</v>
      </c>
      <c r="G12" s="6">
        <f t="shared" si="0"/>
        <v>7.8125</v>
      </c>
    </row>
    <row r="13" spans="1:7" x14ac:dyDescent="0.25">
      <c r="A13" s="1" t="s">
        <v>18</v>
      </c>
      <c r="B13" s="4">
        <v>10</v>
      </c>
      <c r="C13" s="4">
        <v>8.25</v>
      </c>
      <c r="D13" s="4">
        <v>7</v>
      </c>
      <c r="E13" s="4">
        <v>9.5</v>
      </c>
      <c r="F13" s="5">
        <v>0</v>
      </c>
      <c r="G13" s="6">
        <f t="shared" si="0"/>
        <v>8.6875</v>
      </c>
    </row>
    <row r="15" spans="1:7" x14ac:dyDescent="0.25">
      <c r="A15" s="1" t="s">
        <v>19</v>
      </c>
      <c r="B15" s="1">
        <f>SUM(F5:F13)</f>
        <v>9</v>
      </c>
    </row>
    <row r="16" spans="1:7" x14ac:dyDescent="0.25">
      <c r="A16" s="1" t="s">
        <v>20</v>
      </c>
      <c r="B16" s="6">
        <f>MAX(G5:G13)</f>
        <v>9.0625</v>
      </c>
    </row>
    <row r="17" spans="1:2" x14ac:dyDescent="0.25">
      <c r="A17" s="1" t="s">
        <v>21</v>
      </c>
      <c r="B17" s="6">
        <f>MIN(G5:G13)</f>
        <v>4.5</v>
      </c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1A5C-0673-469B-9557-D75347274AF0}">
  <dimension ref="A1:F13"/>
  <sheetViews>
    <sheetView tabSelected="1" workbookViewId="0">
      <selection activeCell="I16" sqref="I16"/>
    </sheetView>
  </sheetViews>
  <sheetFormatPr defaultRowHeight="15" x14ac:dyDescent="0.25"/>
  <cols>
    <col min="1" max="1" width="17.28515625" customWidth="1"/>
    <col min="2" max="2" width="13.140625" customWidth="1"/>
    <col min="3" max="3" width="15.140625" customWidth="1"/>
    <col min="4" max="4" width="14.42578125" customWidth="1"/>
    <col min="5" max="5" width="12.42578125" bestFit="1" customWidth="1"/>
    <col min="6" max="6" width="12.5703125" customWidth="1"/>
  </cols>
  <sheetData>
    <row r="1" spans="1:6" x14ac:dyDescent="0.25">
      <c r="A1" s="8" t="s">
        <v>0</v>
      </c>
      <c r="B1" s="8"/>
      <c r="C1" s="8"/>
      <c r="D1" s="8"/>
      <c r="E1" s="8"/>
      <c r="F1" s="8"/>
    </row>
    <row r="2" spans="1:6" x14ac:dyDescent="0.25">
      <c r="A2" s="9" t="s">
        <v>24</v>
      </c>
      <c r="B2" s="9" t="s">
        <v>2</v>
      </c>
      <c r="C2" s="9"/>
      <c r="D2" s="9"/>
      <c r="E2" s="9"/>
      <c r="F2" s="9"/>
    </row>
    <row r="3" spans="1:6" x14ac:dyDescent="0.25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</row>
    <row r="4" spans="1:6" x14ac:dyDescent="0.25">
      <c r="A4" s="1" t="s">
        <v>10</v>
      </c>
      <c r="B4" s="12">
        <f>'Trimestre 1'!G5</f>
        <v>6.125</v>
      </c>
      <c r="C4" s="12">
        <f>'Trimestre 2'!G5</f>
        <v>5.75</v>
      </c>
      <c r="D4" s="12">
        <f>'Trimestre 3'!G5</f>
        <v>4.5</v>
      </c>
      <c r="E4" s="5">
        <f>'Trimestre 1'!F5+'Trimestre 2'!F5+'Trimestre 3'!F5</f>
        <v>42</v>
      </c>
      <c r="F4" s="6">
        <f>AVERAGE(B4:D4)</f>
        <v>5.458333333333333</v>
      </c>
    </row>
    <row r="5" spans="1:6" x14ac:dyDescent="0.25">
      <c r="A5" s="1" t="s">
        <v>11</v>
      </c>
      <c r="B5" s="12">
        <f>'Trimestre 1'!G6</f>
        <v>5.375</v>
      </c>
      <c r="C5" s="12">
        <f>'Trimestre 2'!G6</f>
        <v>6.75</v>
      </c>
      <c r="D5" s="12">
        <f>'Trimestre 3'!G6</f>
        <v>7</v>
      </c>
      <c r="E5" s="5">
        <f>'Trimestre 1'!F6+'Trimestre 2'!F6+'Trimestre 3'!F6</f>
        <v>14</v>
      </c>
      <c r="F5" s="6">
        <f t="shared" ref="F5:F12" si="0">AVERAGE(B5:D5)</f>
        <v>6.375</v>
      </c>
    </row>
    <row r="6" spans="1:6" x14ac:dyDescent="0.25">
      <c r="A6" s="1" t="s">
        <v>12</v>
      </c>
      <c r="B6" s="12">
        <f>'Trimestre 1'!B7</f>
        <v>6.25</v>
      </c>
      <c r="C6" s="12">
        <f>'Trimestre 2'!C7</f>
        <v>6</v>
      </c>
      <c r="D6" s="12">
        <f>'Trimestre 3'!G7</f>
        <v>6.6875</v>
      </c>
      <c r="E6" s="5">
        <f>'Trimestre 1'!F7+'Trimestre 2'!F7+'Trimestre 3'!F7</f>
        <v>11</v>
      </c>
      <c r="F6" s="6">
        <f t="shared" si="0"/>
        <v>6.3125</v>
      </c>
    </row>
    <row r="7" spans="1:6" x14ac:dyDescent="0.25">
      <c r="A7" s="1" t="s">
        <v>13</v>
      </c>
      <c r="B7" s="12">
        <f>'Trimestre 1'!G8</f>
        <v>6.8125</v>
      </c>
      <c r="C7" s="12">
        <f>'Trimestre 2'!G8</f>
        <v>7.125</v>
      </c>
      <c r="D7" s="12">
        <f>'Trimestre 3'!G8</f>
        <v>6.8125</v>
      </c>
      <c r="E7" s="5">
        <f>'Trimestre 1'!F8+'Trimestre 2'!F8+'Trimestre 3'!F8</f>
        <v>2</v>
      </c>
      <c r="F7" s="6">
        <f t="shared" si="0"/>
        <v>6.916666666666667</v>
      </c>
    </row>
    <row r="8" spans="1:6" x14ac:dyDescent="0.25">
      <c r="A8" s="1" t="s">
        <v>14</v>
      </c>
      <c r="B8" s="12">
        <f>'Trimestre 1'!G9</f>
        <v>7.9375</v>
      </c>
      <c r="C8" s="12">
        <f>'Trimestre 2'!G9</f>
        <v>6.75</v>
      </c>
      <c r="D8" s="12">
        <f>'Trimestre 3'!G9</f>
        <v>7.9375</v>
      </c>
      <c r="E8" s="5">
        <f>'Trimestre 1'!F9+'Trimestre 2'!F9+'Trimestre 2'!F9+'Trimestre 3'!F9</f>
        <v>2</v>
      </c>
      <c r="F8" s="6">
        <f t="shared" si="0"/>
        <v>7.541666666666667</v>
      </c>
    </row>
    <row r="9" spans="1:6" x14ac:dyDescent="0.25">
      <c r="A9" s="1" t="s">
        <v>15</v>
      </c>
      <c r="B9" s="12">
        <f>'Trimestre 1'!G10</f>
        <v>9.0625</v>
      </c>
      <c r="C9" s="12">
        <f>'Trimestre 2'!G10</f>
        <v>7.8125</v>
      </c>
      <c r="D9" s="12">
        <f>'Trimestre 3'!G10</f>
        <v>9.0625</v>
      </c>
      <c r="E9" s="5">
        <f>'Trimestre 1'!F10+'Trimestre 2'!F10+'Trimestre 3'!F10</f>
        <v>5</v>
      </c>
      <c r="F9" s="6">
        <f t="shared" si="0"/>
        <v>8.6458333333333339</v>
      </c>
    </row>
    <row r="10" spans="1:6" x14ac:dyDescent="0.25">
      <c r="A10" s="1" t="s">
        <v>16</v>
      </c>
      <c r="B10" s="12">
        <f>'Trimestre 1'!G11</f>
        <v>8.375</v>
      </c>
      <c r="C10" s="12">
        <f>'Trimestre 2'!G11</f>
        <v>7.25</v>
      </c>
      <c r="D10" s="12">
        <f>'Trimestre 3'!G11</f>
        <v>9</v>
      </c>
      <c r="E10" s="5">
        <f>'Trimestre 1'!F11+'Trimestre 2'!F11+'Trimestre 3'!F11</f>
        <v>0</v>
      </c>
      <c r="F10" s="6">
        <f t="shared" si="0"/>
        <v>8.2083333333333339</v>
      </c>
    </row>
    <row r="11" spans="1:6" x14ac:dyDescent="0.25">
      <c r="A11" s="1" t="s">
        <v>17</v>
      </c>
      <c r="B11" s="12">
        <f>'Trimestre 1'!G12</f>
        <v>7.8125</v>
      </c>
      <c r="C11" s="12">
        <f>'Trimestre 2'!G12</f>
        <v>7.875</v>
      </c>
      <c r="D11" s="12">
        <f>'Trimestre 3'!G12</f>
        <v>7.8125</v>
      </c>
      <c r="E11" s="5">
        <f>'Trimestre 1'!F12+'Trimestre 2'!F12+'Trimestre 3'!F12</f>
        <v>4</v>
      </c>
      <c r="F11" s="6">
        <f t="shared" si="0"/>
        <v>7.833333333333333</v>
      </c>
    </row>
    <row r="12" spans="1:6" x14ac:dyDescent="0.25">
      <c r="A12" s="1" t="s">
        <v>18</v>
      </c>
      <c r="B12" s="12">
        <f>'Trimestre 1'!G13</f>
        <v>8.6875</v>
      </c>
      <c r="C12" s="12">
        <f>'Trimestre 2'!G13</f>
        <v>7.625</v>
      </c>
      <c r="D12" s="12">
        <f>'Trimestre 3'!G13</f>
        <v>8.6875</v>
      </c>
      <c r="E12" s="5">
        <f>'Trimestre 1'!F13+'Trimestre 2'!F13+'Trimestre 3'!F13</f>
        <v>0</v>
      </c>
      <c r="F12" s="6">
        <f t="shared" si="0"/>
        <v>8.3333333333333339</v>
      </c>
    </row>
    <row r="13" spans="1:6" x14ac:dyDescent="0.25">
      <c r="A13" s="10"/>
      <c r="B13" s="10"/>
      <c r="C13" s="10"/>
      <c r="D13" s="11" t="s">
        <v>31</v>
      </c>
      <c r="E13" s="10">
        <f>SUM(E4:E12)</f>
        <v>80</v>
      </c>
      <c r="F13" s="10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Trimestre 1</vt:lpstr>
      <vt:lpstr>Trimestre 2</vt:lpstr>
      <vt:lpstr>Trimestre 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2026-03-25T16:39:55Z</dcterms:created>
  <dcterms:modified xsi:type="dcterms:W3CDTF">2026-03-25T18:24:54Z</dcterms:modified>
</cp:coreProperties>
</file>