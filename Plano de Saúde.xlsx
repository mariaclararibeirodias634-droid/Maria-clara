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C6986D2E-6185-4A20-8C64-418BA133FFDA}" xr6:coauthVersionLast="47" xr6:coauthVersionMax="47" xr10:uidLastSave="{00000000-0000-0000-0000-000000000000}"/>
  <bookViews>
    <workbookView xWindow="14295" yWindow="0" windowWidth="14610" windowHeight="15585" xr2:uid="{67089317-C634-4FB3-82A5-68BB38DCCD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E6" i="1" s="1"/>
  <c r="F6" i="1" s="1"/>
  <c r="D7" i="1"/>
  <c r="E7" i="1" s="1"/>
  <c r="F7" i="1" s="1"/>
  <c r="D8" i="1"/>
  <c r="E8" i="1" s="1"/>
  <c r="F8" i="1" s="1"/>
  <c r="D3" i="1"/>
  <c r="E3" i="1"/>
  <c r="F3" i="1" s="1"/>
  <c r="E4" i="1"/>
  <c r="F4" i="1" s="1"/>
  <c r="E5" i="1"/>
  <c r="F5" i="1" s="1"/>
  <c r="C4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<sst xmlns="http://schemas.openxmlformats.org/spreadsheetml/2006/main" count="16" uniqueCount="16">
  <si>
    <t>Departamentos</t>
  </si>
  <si>
    <t>Diretoria</t>
  </si>
  <si>
    <t>Corpo Docente</t>
  </si>
  <si>
    <t>Secretária</t>
  </si>
  <si>
    <t>Limpeza</t>
  </si>
  <si>
    <t>Cozinha</t>
  </si>
  <si>
    <t>Manutenção</t>
  </si>
  <si>
    <t>Faixa Salarial</t>
  </si>
  <si>
    <t>Categoria do plano médico</t>
  </si>
  <si>
    <t>Preço do plano</t>
  </si>
  <si>
    <t>Partcipação da Empresa</t>
  </si>
  <si>
    <t>Salário Bruto</t>
  </si>
  <si>
    <t>Categoria do Plano Médico</t>
  </si>
  <si>
    <t>Preço para Funcionário</t>
  </si>
  <si>
    <t>Preço para plano</t>
  </si>
  <si>
    <t>Preço para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</si>
</sst>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44" fontId="0" fillId="0" borderId="0" xfId="1" applyFon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/>
    <xf numFmtId="2" fontId="0" fillId="0" borderId="1" xfId="0" applyNumberFormat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5CE2-0E24-4ACB-B730-76117BD9075E}">
  <dimension ref="A2:K16"/>
  <sheetViews>
    <sheetView tabSelected="1" workbookViewId="0">
      <selection activeCell="I4" sqref="I4"/>
    </sheetView>
  </sheetViews>
  <sheetFormatPr defaultRowHeight="15" x14ac:dyDescent="0.25"/>
  <cols>
    <col min="1" max="1" width="15.7109375" customWidth="1"/>
    <col min="2" max="2" width="12.28515625" customWidth="1"/>
    <col min="3" max="3" width="13.5703125" customWidth="1"/>
    <col min="4" max="4" width="12.42578125" customWidth="1"/>
    <col min="5" max="6" width="11.140625" customWidth="1"/>
  </cols>
  <sheetData>
    <row r="2" spans="1:11" ht="28.5" customHeight="1" x14ac:dyDescent="0.25">
      <c r="A2" s="1" t="s">
        <v>0</v>
      </c>
      <c r="B2" s="1" t="s">
        <v>11</v>
      </c>
      <c r="C2" s="2" t="s">
        <v>12</v>
      </c>
      <c r="D2" s="2" t="s">
        <v>14</v>
      </c>
      <c r="E2" s="2" t="s">
        <v>15</v>
      </c>
      <c r="F2" s="3" t="s">
        <v>13</v>
      </c>
    </row>
    <row r="3" spans="1:11" x14ac:dyDescent="0.25">
      <c r="A3" s="4" t="s">
        <v>1</v>
      </c>
      <c r="B3" s="11">
        <v>4200</v>
      </c>
      <c r="C3" s="4">
        <f>VLOOKUP(B3,A$11:D$16,2,TRUE)</f>
        <v>4</v>
      </c>
      <c r="D3" s="13">
        <f>VLOOKUP(B3,A$11:D$16,3,TRUE)</f>
        <v>450</v>
      </c>
      <c r="E3" s="12">
        <f>D3*VLOOKUP(B3,A$11:D$16,4,TRUE)</f>
        <v>54</v>
      </c>
      <c r="F3" s="5">
        <f>D3-E3</f>
        <v>396</v>
      </c>
    </row>
    <row r="4" spans="1:11" x14ac:dyDescent="0.25">
      <c r="A4" s="4" t="s">
        <v>2</v>
      </c>
      <c r="B4" s="11">
        <v>1900</v>
      </c>
      <c r="C4" s="4">
        <f t="shared" ref="C4:C8" si="0">VLOOKUP(B4,A$11:D$16,2,TRUE)</f>
        <v>2</v>
      </c>
      <c r="D4" s="13">
        <f t="shared" ref="D4:D8" si="1">VLOOKUP(B4,A$11:D$16,3,TRUE)</f>
        <v>140</v>
      </c>
      <c r="E4" s="12">
        <f t="shared" ref="E4:E8" si="2">D4*VLOOKUP(B4,A$11:D$16,4,TRUE)</f>
        <v>112</v>
      </c>
      <c r="F4" s="5">
        <f t="shared" ref="F4:F8" si="3">D4-E4</f>
        <v>28</v>
      </c>
    </row>
    <row r="5" spans="1:11" x14ac:dyDescent="0.25">
      <c r="A5" s="4" t="s">
        <v>3</v>
      </c>
      <c r="B5" s="11">
        <v>2100</v>
      </c>
      <c r="C5" s="4">
        <f t="shared" si="0"/>
        <v>3</v>
      </c>
      <c r="D5" s="13">
        <f t="shared" si="1"/>
        <v>230</v>
      </c>
      <c r="E5" s="12">
        <f t="shared" si="2"/>
        <v>138</v>
      </c>
      <c r="F5" s="5">
        <f t="shared" si="3"/>
        <v>92</v>
      </c>
    </row>
    <row r="6" spans="1:11" x14ac:dyDescent="0.25">
      <c r="A6" s="4" t="s">
        <v>4</v>
      </c>
      <c r="B6" s="11">
        <v>510</v>
      </c>
      <c r="C6" s="4">
        <f t="shared" si="0"/>
        <v>1</v>
      </c>
      <c r="D6" s="13">
        <f t="shared" si="1"/>
        <v>80</v>
      </c>
      <c r="E6" s="12">
        <f t="shared" si="2"/>
        <v>72</v>
      </c>
      <c r="F6" s="5">
        <f t="shared" si="3"/>
        <v>8</v>
      </c>
    </row>
    <row r="7" spans="1:11" x14ac:dyDescent="0.25">
      <c r="A7" s="4" t="s">
        <v>5</v>
      </c>
      <c r="B7" s="11">
        <v>700</v>
      </c>
      <c r="C7" s="4">
        <f t="shared" si="0"/>
        <v>1</v>
      </c>
      <c r="D7" s="13">
        <f t="shared" si="1"/>
        <v>80</v>
      </c>
      <c r="E7" s="12">
        <f t="shared" si="2"/>
        <v>72</v>
      </c>
      <c r="F7" s="5">
        <f t="shared" si="3"/>
        <v>8</v>
      </c>
    </row>
    <row r="8" spans="1:11" x14ac:dyDescent="0.25">
      <c r="A8" s="4" t="s">
        <v>6</v>
      </c>
      <c r="B8" s="11">
        <v>1200</v>
      </c>
      <c r="C8" s="4">
        <f t="shared" si="0"/>
        <v>2</v>
      </c>
      <c r="D8" s="13">
        <f t="shared" si="1"/>
        <v>140</v>
      </c>
      <c r="E8" s="12">
        <f t="shared" si="2"/>
        <v>112</v>
      </c>
      <c r="F8" s="5">
        <f t="shared" si="3"/>
        <v>28</v>
      </c>
    </row>
    <row r="10" spans="1:11" ht="17.25" customHeight="1" x14ac:dyDescent="0.25">
      <c r="A10" s="7"/>
      <c r="B10" s="8"/>
      <c r="C10" s="8"/>
      <c r="D10" s="8"/>
      <c r="H10" s="7"/>
      <c r="I10" s="8"/>
      <c r="J10" s="8"/>
      <c r="K10" s="8"/>
    </row>
    <row r="11" spans="1:11" ht="45" x14ac:dyDescent="0.25">
      <c r="A11" s="1" t="s">
        <v>7</v>
      </c>
      <c r="B11" s="2" t="s">
        <v>8</v>
      </c>
      <c r="C11" s="2" t="s">
        <v>9</v>
      </c>
      <c r="D11" s="2" t="s">
        <v>10</v>
      </c>
      <c r="H11" s="9"/>
      <c r="I11" s="7"/>
      <c r="J11" s="9"/>
      <c r="K11" s="10"/>
    </row>
    <row r="12" spans="1:11" x14ac:dyDescent="0.25">
      <c r="A12" s="11">
        <v>500</v>
      </c>
      <c r="B12" s="1">
        <v>1</v>
      </c>
      <c r="C12" s="11">
        <v>80</v>
      </c>
      <c r="D12" s="6">
        <v>0.9</v>
      </c>
      <c r="H12" s="9"/>
      <c r="I12" s="7"/>
      <c r="J12" s="9"/>
      <c r="K12" s="10"/>
    </row>
    <row r="13" spans="1:11" x14ac:dyDescent="0.25">
      <c r="A13" s="11">
        <v>1000</v>
      </c>
      <c r="B13" s="1">
        <v>2</v>
      </c>
      <c r="C13" s="11">
        <v>140</v>
      </c>
      <c r="D13" s="6">
        <v>0.8</v>
      </c>
      <c r="H13" s="9"/>
      <c r="I13" s="7"/>
      <c r="J13" s="9"/>
      <c r="K13" s="10"/>
    </row>
    <row r="14" spans="1:11" x14ac:dyDescent="0.25">
      <c r="A14" s="11">
        <v>2000</v>
      </c>
      <c r="B14" s="1">
        <v>3</v>
      </c>
      <c r="C14" s="11">
        <v>230</v>
      </c>
      <c r="D14" s="6">
        <v>0.6</v>
      </c>
      <c r="H14" s="9"/>
      <c r="I14" s="7"/>
      <c r="J14" s="9"/>
      <c r="K14" s="10"/>
    </row>
    <row r="15" spans="1:11" x14ac:dyDescent="0.25">
      <c r="A15" s="11">
        <v>3000</v>
      </c>
      <c r="B15" s="1">
        <v>4</v>
      </c>
      <c r="C15" s="11">
        <v>450</v>
      </c>
      <c r="D15" s="6">
        <v>0.12</v>
      </c>
      <c r="H15" s="9"/>
      <c r="I15" s="7"/>
      <c r="J15" s="9"/>
      <c r="K15" s="10"/>
    </row>
    <row r="16" spans="1:11" x14ac:dyDescent="0.25">
      <c r="A16" s="11">
        <v>5000</v>
      </c>
      <c r="B16" s="1">
        <v>5</v>
      </c>
      <c r="C16" s="11">
        <v>800</v>
      </c>
      <c r="D16" s="6">
        <v>0.09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2026-03-26T16:52:00Z</dcterms:created>
  <dcterms:modified xsi:type="dcterms:W3CDTF">2026-03-26T17:55:31Z</dcterms:modified>
</cp:coreProperties>
</file>