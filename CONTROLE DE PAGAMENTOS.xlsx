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F7E85183-E4CC-4034-82EC-A379B930BEB9}" xr6:coauthVersionLast="47" xr6:coauthVersionMax="47" xr10:uidLastSave="{00000000-0000-0000-0000-000000000000}"/>
  <bookViews>
    <workbookView xWindow="14295" yWindow="0" windowWidth="14610" windowHeight="15585" xr2:uid="{4682AD23-871E-4197-AD4A-D01AF4BD3E30}"/>
  </bookViews>
  <sheets>
    <sheet name="RELATÓRIO" sheetId="1" r:id="rId1"/>
    <sheet name="FERI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G6" i="1" s="1"/>
  <c r="G7" i="1"/>
  <c r="G8" i="1"/>
  <c r="G9" i="1"/>
  <c r="G10" i="1"/>
  <c r="G11" i="1"/>
  <c r="G12" i="1"/>
  <c r="G13" i="1"/>
  <c r="G14" i="1"/>
  <c r="G15" i="1"/>
  <c r="G16" i="1"/>
  <c r="F7" i="1"/>
  <c r="F8" i="1"/>
  <c r="F9" i="1"/>
  <c r="F10" i="1"/>
  <c r="F11" i="1"/>
  <c r="F12" i="1"/>
  <c r="F13" i="1"/>
  <c r="F14" i="1"/>
  <c r="F15" i="1"/>
  <c r="F16" i="1"/>
</calcChain>
</file>

<file path=xl/sharedStrings.xml><?xml version="1.0" encoding="utf-8"?>
<sst xmlns="http://schemas.openxmlformats.org/spreadsheetml/2006/main" count="32" uniqueCount="15">
  <si>
    <t xml:space="preserve">ZAP S/A - CONTROLE DE PAGAMENTOS ÁS EMPRESAS TERCEIRIZADAS </t>
  </si>
  <si>
    <t>PERÍODO: 01/01/2023 A 31/07/2013</t>
  </si>
  <si>
    <t>VALOR/HORA:</t>
  </si>
  <si>
    <t xml:space="preserve">EMPRESA </t>
  </si>
  <si>
    <t xml:space="preserve">ÁREA </t>
  </si>
  <si>
    <t>DATA INÍCIO CONTRATO</t>
  </si>
  <si>
    <t>DATA TÉRMINO CONTRATO</t>
  </si>
  <si>
    <t xml:space="preserve">CARGA HORÁRIA DIÁRIA </t>
  </si>
  <si>
    <t xml:space="preserve">DIAS ÚTEIS </t>
  </si>
  <si>
    <t xml:space="preserve">VALOR DO CONTRATO </t>
  </si>
  <si>
    <t xml:space="preserve">ADM MÃO DE OBRA </t>
  </si>
  <si>
    <t>CONTÁBIL TOTAL</t>
  </si>
  <si>
    <t xml:space="preserve">LUCAS BROS </t>
  </si>
  <si>
    <t>ADMINISTRATIVA</t>
  </si>
  <si>
    <t>CONTABILIDADE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</si>
</sst>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44" fontId="5" fillId="0" borderId="0" xfId="1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14" fontId="0" fillId="0" borderId="0" xfId="0" applyNumberFormat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44" fontId="0" fillId="0" borderId="1" xfId="0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A33E-B396-4A27-8E8F-FF464A55464D}">
  <dimension ref="A1:G16"/>
  <sheetViews>
    <sheetView tabSelected="1" workbookViewId="0">
      <selection activeCell="F6" sqref="F6"/>
    </sheetView>
  </sheetViews>
  <sheetFormatPr defaultRowHeight="15" x14ac:dyDescent="0.25"/>
  <cols>
    <col min="1" max="1" width="18.5703125" customWidth="1"/>
    <col min="2" max="2" width="20.42578125" customWidth="1"/>
    <col min="3" max="3" width="16.85546875" customWidth="1"/>
    <col min="4" max="4" width="15" customWidth="1"/>
    <col min="5" max="5" width="15.7109375" customWidth="1"/>
    <col min="6" max="6" width="15.140625" customWidth="1"/>
    <col min="7" max="7" width="16" customWidth="1"/>
  </cols>
  <sheetData>
    <row r="1" spans="1:7" ht="18.75" x14ac:dyDescent="0.3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4">
        <v>55</v>
      </c>
    </row>
    <row r="5" spans="1:7" ht="24" x14ac:dyDescent="0.25">
      <c r="A5" s="5" t="s">
        <v>3</v>
      </c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spans="1:7" x14ac:dyDescent="0.25">
      <c r="A6" s="7" t="s">
        <v>10</v>
      </c>
      <c r="B6" s="8" t="s">
        <v>13</v>
      </c>
      <c r="C6" s="10">
        <v>41275</v>
      </c>
      <c r="D6" s="10">
        <v>41332</v>
      </c>
      <c r="E6" s="11">
        <v>6</v>
      </c>
      <c r="F6" s="11">
        <f>NETWORKDAYS.INTL(C6,D6,11,FERIADOS!A:A)</f>
        <v>47</v>
      </c>
      <c r="G6" s="12">
        <f>E6*F6*B$3</f>
        <v>15510</v>
      </c>
    </row>
    <row r="7" spans="1:7" x14ac:dyDescent="0.25">
      <c r="A7" s="7" t="s">
        <v>11</v>
      </c>
      <c r="B7" s="8" t="s">
        <v>14</v>
      </c>
      <c r="C7" s="10">
        <v>41284</v>
      </c>
      <c r="D7" s="10">
        <v>41318</v>
      </c>
      <c r="E7" s="11">
        <v>6</v>
      </c>
      <c r="F7" s="11">
        <f>NETWORKDAYS.INTL(C7,D7,11,FERIADOS!A:A)</f>
        <v>28</v>
      </c>
      <c r="G7" s="12">
        <f t="shared" ref="G7:G16" si="0">E7*F7*B$3</f>
        <v>9240</v>
      </c>
    </row>
    <row r="8" spans="1:7" x14ac:dyDescent="0.25">
      <c r="A8" s="7" t="s">
        <v>12</v>
      </c>
      <c r="B8" s="8" t="s">
        <v>13</v>
      </c>
      <c r="C8" s="10">
        <v>41336</v>
      </c>
      <c r="D8" s="10">
        <v>41374</v>
      </c>
      <c r="E8" s="11">
        <v>8</v>
      </c>
      <c r="F8" s="11">
        <f>NETWORKDAYS.INTL(C8,D8,11,FERIADOS!A:A)</f>
        <v>31</v>
      </c>
      <c r="G8" s="12">
        <f t="shared" si="0"/>
        <v>13640</v>
      </c>
    </row>
    <row r="9" spans="1:7" x14ac:dyDescent="0.25">
      <c r="A9" s="7" t="s">
        <v>11</v>
      </c>
      <c r="B9" s="8" t="s">
        <v>14</v>
      </c>
      <c r="C9" s="10">
        <v>41353</v>
      </c>
      <c r="D9" s="10">
        <v>41379</v>
      </c>
      <c r="E9" s="11">
        <v>4</v>
      </c>
      <c r="F9" s="11">
        <f>NETWORKDAYS.INTL(C9,D9,11,FERIADOS!A:A)</f>
        <v>21</v>
      </c>
      <c r="G9" s="12">
        <f t="shared" si="0"/>
        <v>4620</v>
      </c>
    </row>
    <row r="10" spans="1:7" x14ac:dyDescent="0.25">
      <c r="A10" s="7" t="s">
        <v>12</v>
      </c>
      <c r="B10" s="8" t="s">
        <v>14</v>
      </c>
      <c r="C10" s="10">
        <v>41396</v>
      </c>
      <c r="D10" s="10">
        <v>41424</v>
      </c>
      <c r="E10" s="11">
        <v>4</v>
      </c>
      <c r="F10" s="11">
        <f>NETWORKDAYS.INTL(C10,D10,11,FERIADOS!A:A)</f>
        <v>24</v>
      </c>
      <c r="G10" s="12">
        <f t="shared" si="0"/>
        <v>5280</v>
      </c>
    </row>
    <row r="11" spans="1:7" x14ac:dyDescent="0.25">
      <c r="A11" s="7" t="s">
        <v>10</v>
      </c>
      <c r="B11" s="8" t="s">
        <v>13</v>
      </c>
      <c r="C11" s="10">
        <v>41405</v>
      </c>
      <c r="D11" s="10">
        <v>41412</v>
      </c>
      <c r="E11" s="11">
        <v>6</v>
      </c>
      <c r="F11" s="11">
        <f>NETWORKDAYS.INTL(C11,D11,11,FERIADOS!A:A)</f>
        <v>7</v>
      </c>
      <c r="G11" s="12">
        <f t="shared" si="0"/>
        <v>2310</v>
      </c>
    </row>
    <row r="12" spans="1:7" x14ac:dyDescent="0.25">
      <c r="A12" s="7" t="s">
        <v>10</v>
      </c>
      <c r="B12" s="8" t="s">
        <v>13</v>
      </c>
      <c r="C12" s="10">
        <v>41426</v>
      </c>
      <c r="D12" s="10">
        <v>41445</v>
      </c>
      <c r="E12" s="11">
        <v>8</v>
      </c>
      <c r="F12" s="11">
        <f>NETWORKDAYS.INTL(C12,D12,11,FERIADOS!A:A)</f>
        <v>17</v>
      </c>
      <c r="G12" s="12">
        <f t="shared" si="0"/>
        <v>7480</v>
      </c>
    </row>
    <row r="13" spans="1:7" x14ac:dyDescent="0.25">
      <c r="A13" s="7" t="s">
        <v>12</v>
      </c>
      <c r="B13" s="8" t="s">
        <v>13</v>
      </c>
      <c r="C13" s="10">
        <v>41435</v>
      </c>
      <c r="D13" s="10">
        <v>41460</v>
      </c>
      <c r="E13" s="11">
        <v>6</v>
      </c>
      <c r="F13" s="11">
        <f>NETWORKDAYS.INTL(C13,D13,11,FERIADOS!A:A)</f>
        <v>23</v>
      </c>
      <c r="G13" s="12">
        <f t="shared" si="0"/>
        <v>7590</v>
      </c>
    </row>
    <row r="14" spans="1:7" x14ac:dyDescent="0.25">
      <c r="A14" s="7" t="s">
        <v>11</v>
      </c>
      <c r="B14" s="8" t="s">
        <v>14</v>
      </c>
      <c r="C14" s="10">
        <v>41436</v>
      </c>
      <c r="D14" s="10">
        <v>41448</v>
      </c>
      <c r="E14" s="11">
        <v>4</v>
      </c>
      <c r="F14" s="11">
        <f>NETWORKDAYS.INTL(C14,D14,11,FERIADOS!A:A)</f>
        <v>11</v>
      </c>
      <c r="G14" s="12">
        <f t="shared" si="0"/>
        <v>2420</v>
      </c>
    </row>
    <row r="15" spans="1:7" x14ac:dyDescent="0.25">
      <c r="A15" s="7" t="s">
        <v>12</v>
      </c>
      <c r="B15" s="8" t="s">
        <v>13</v>
      </c>
      <c r="C15" s="10">
        <v>41465</v>
      </c>
      <c r="D15" s="10">
        <v>41478</v>
      </c>
      <c r="E15" s="11">
        <v>4</v>
      </c>
      <c r="F15" s="11">
        <f>NETWORKDAYS.INTL(C15,D15,11,FERIADOS!A:A)</f>
        <v>12</v>
      </c>
      <c r="G15" s="12">
        <f t="shared" si="0"/>
        <v>2640</v>
      </c>
    </row>
    <row r="16" spans="1:7" x14ac:dyDescent="0.25">
      <c r="A16" s="7" t="s">
        <v>10</v>
      </c>
      <c r="B16" s="8" t="s">
        <v>13</v>
      </c>
      <c r="C16" s="10">
        <v>41470</v>
      </c>
      <c r="D16" s="10">
        <v>41486</v>
      </c>
      <c r="E16" s="11">
        <v>8</v>
      </c>
      <c r="F16" s="11">
        <f>NETWORKDAYS.INTL(C16,D16,11,FERIADOS!A:A)</f>
        <v>15</v>
      </c>
      <c r="G16" s="12">
        <f t="shared" si="0"/>
        <v>6600</v>
      </c>
    </row>
  </sheetData>
  <mergeCells count="2">
    <mergeCell ref="A1:G1"/>
    <mergeCell ref="A2:G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4BB1-8E0A-4AE0-85F8-A69E04861A85}">
  <dimension ref="A1:A8"/>
  <sheetViews>
    <sheetView workbookViewId="0">
      <selection activeCell="A9" sqref="A9"/>
    </sheetView>
  </sheetViews>
  <sheetFormatPr defaultRowHeight="15" x14ac:dyDescent="0.25"/>
  <cols>
    <col min="1" max="1" width="10.7109375" bestFit="1" customWidth="1"/>
  </cols>
  <sheetData>
    <row r="1" spans="1:1" x14ac:dyDescent="0.25">
      <c r="A1" s="9">
        <v>41275</v>
      </c>
    </row>
    <row r="2" spans="1:1" x14ac:dyDescent="0.25">
      <c r="A2" s="9">
        <v>41299</v>
      </c>
    </row>
    <row r="3" spans="1:1" x14ac:dyDescent="0.25">
      <c r="A3" s="9">
        <v>41317</v>
      </c>
    </row>
    <row r="4" spans="1:1" x14ac:dyDescent="0.25">
      <c r="A4" s="9">
        <v>41362</v>
      </c>
    </row>
    <row r="5" spans="1:1" x14ac:dyDescent="0.25">
      <c r="A5" s="9">
        <v>41354</v>
      </c>
    </row>
    <row r="6" spans="1:1" x14ac:dyDescent="0.25">
      <c r="A6" s="9">
        <v>41395</v>
      </c>
    </row>
    <row r="7" spans="1:1" x14ac:dyDescent="0.25">
      <c r="A7" s="9">
        <v>41424</v>
      </c>
    </row>
    <row r="8" spans="1:1" x14ac:dyDescent="0.25">
      <c r="A8" s="9">
        <v>40733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RELATÓRIO</vt:lpstr>
      <vt:lpstr>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2026-03-31T17:25:15Z</dcterms:created>
  <dcterms:modified xsi:type="dcterms:W3CDTF">2026-03-31T18:35:35Z</dcterms:modified>
</cp:coreProperties>
</file>